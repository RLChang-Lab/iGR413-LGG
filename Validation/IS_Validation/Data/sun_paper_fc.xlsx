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43EA06E3-5922-3543-BBFD-E7FCCDFBCF66}" xr6:coauthVersionLast="47" xr6:coauthVersionMax="47" xr10:uidLastSave="{00000000-0000-0000-0000-000000000000}"/>
  <bookViews>
    <workbookView xWindow="-26220" yWindow="760" windowWidth="16160" windowHeight="17440" xr2:uid="{65752598-6CFA-CB48-A8D4-F44AF239F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  <c r="F45" i="1"/>
  <c r="F14" i="1"/>
  <c r="F42" i="1"/>
  <c r="F22" i="1"/>
  <c r="F21" i="1"/>
  <c r="F31" i="1"/>
  <c r="F19" i="1"/>
  <c r="F32" i="1"/>
  <c r="F23" i="1"/>
  <c r="F6" i="1"/>
  <c r="F35" i="1"/>
  <c r="F17" i="1"/>
  <c r="F40" i="1"/>
  <c r="F11" i="1"/>
  <c r="F26" i="1"/>
  <c r="F3" i="1"/>
  <c r="F39" i="1"/>
  <c r="F15" i="1"/>
  <c r="F16" i="1"/>
  <c r="F8" i="1"/>
  <c r="F7" i="1"/>
  <c r="F5" i="1"/>
  <c r="F36" i="1"/>
  <c r="F27" i="1"/>
  <c r="F12" i="1"/>
  <c r="F24" i="1"/>
  <c r="F20" i="1"/>
  <c r="F25" i="1"/>
  <c r="F41" i="1"/>
  <c r="F2" i="1"/>
  <c r="F18" i="1"/>
  <c r="F43" i="1"/>
  <c r="F9" i="1"/>
  <c r="F37" i="1"/>
  <c r="F34" i="1"/>
  <c r="F13" i="1"/>
  <c r="F33" i="1"/>
  <c r="F28" i="1"/>
  <c r="F29" i="1"/>
  <c r="F10" i="1"/>
  <c r="F4" i="1"/>
  <c r="F30" i="1"/>
  <c r="F38" i="1"/>
</calcChain>
</file>

<file path=xl/sharedStrings.xml><?xml version="1.0" encoding="utf-8"?>
<sst xmlns="http://schemas.openxmlformats.org/spreadsheetml/2006/main" count="147" uniqueCount="104">
  <si>
    <t>Component</t>
  </si>
  <si>
    <t>LB</t>
  </si>
  <si>
    <t>Threonine</t>
  </si>
  <si>
    <t>Valine</t>
  </si>
  <si>
    <t>Leucine</t>
  </si>
  <si>
    <t>Isoleucine</t>
  </si>
  <si>
    <t>Phenylalanine</t>
  </si>
  <si>
    <t>Histidine</t>
  </si>
  <si>
    <t>Proline</t>
  </si>
  <si>
    <t>Lysine</t>
  </si>
  <si>
    <t>Arginine</t>
  </si>
  <si>
    <t>Serine</t>
  </si>
  <si>
    <t>Glycine</t>
  </si>
  <si>
    <t>Tyrosine</t>
  </si>
  <si>
    <t>Cysteine</t>
  </si>
  <si>
    <t>Methionine</t>
  </si>
  <si>
    <t>Alanine</t>
  </si>
  <si>
    <t>Tryptophan</t>
  </si>
  <si>
    <t>Glutamate</t>
  </si>
  <si>
    <t>glutamine</t>
  </si>
  <si>
    <t>asparagine</t>
  </si>
  <si>
    <t>aspartate</t>
  </si>
  <si>
    <t>sodium acetate</t>
  </si>
  <si>
    <t>monobasic</t>
  </si>
  <si>
    <t>dibasic</t>
  </si>
  <si>
    <t>magnesium</t>
  </si>
  <si>
    <t>iron</t>
  </si>
  <si>
    <t>manganese</t>
  </si>
  <si>
    <t>uracil</t>
  </si>
  <si>
    <t>adenine</t>
  </si>
  <si>
    <t>guanine</t>
  </si>
  <si>
    <t>xanthine</t>
  </si>
  <si>
    <t>biotin</t>
  </si>
  <si>
    <t xml:space="preserve">thiamin </t>
  </si>
  <si>
    <t>riboflavin</t>
  </si>
  <si>
    <t>folate</t>
  </si>
  <si>
    <t>pyroxidine</t>
  </si>
  <si>
    <t>myo-inositol</t>
  </si>
  <si>
    <t>nicotinic acid</t>
  </si>
  <si>
    <t>cyanocobalamin</t>
  </si>
  <si>
    <t>aminobenzoate</t>
  </si>
  <si>
    <t xml:space="preserve">pantothenate </t>
  </si>
  <si>
    <t>paper definition</t>
  </si>
  <si>
    <t>Essential</t>
  </si>
  <si>
    <t>Stimulatory</t>
  </si>
  <si>
    <t>Non-essential</t>
  </si>
  <si>
    <t>Concentration- IV (g/L)</t>
  </si>
  <si>
    <t>ammonium chloride</t>
  </si>
  <si>
    <t xml:space="preserve">glucose </t>
  </si>
  <si>
    <t>EX_cys_L_e</t>
  </si>
  <si>
    <t>EX_mg2_e</t>
  </si>
  <si>
    <t>EX_ile_L_e</t>
  </si>
  <si>
    <t>EX_k_e</t>
  </si>
  <si>
    <t>EX_glu_L_e</t>
  </si>
  <si>
    <t>EX_asp_L_e</t>
  </si>
  <si>
    <t>EX_asn_L_e</t>
  </si>
  <si>
    <t>EX_arg_L_e</t>
  </si>
  <si>
    <t>EX_his_L_e</t>
  </si>
  <si>
    <t>EX_val_L_e</t>
  </si>
  <si>
    <t>EX_cobalt2_e</t>
  </si>
  <si>
    <t>EX_pro_L_e</t>
  </si>
  <si>
    <t>EX_cytd_e</t>
  </si>
  <si>
    <t>EX_mops_e</t>
  </si>
  <si>
    <t>EX_NH4_e</t>
  </si>
  <si>
    <t>EX_ser_L_e</t>
  </si>
  <si>
    <t>EX_C00072_e</t>
  </si>
  <si>
    <t>EX_cit_e</t>
  </si>
  <si>
    <t>EX_ura_e</t>
  </si>
  <si>
    <t>EX_xan_e</t>
  </si>
  <si>
    <t>EX_met_L_e</t>
  </si>
  <si>
    <t>EX_inost_e</t>
  </si>
  <si>
    <t>EX_ala_D_e</t>
  </si>
  <si>
    <t>EX_lys_L_e</t>
  </si>
  <si>
    <t>EX_gua_e</t>
  </si>
  <si>
    <t>EX_thr_L_e</t>
  </si>
  <si>
    <t>EX_pnto_R_e</t>
  </si>
  <si>
    <t>EX_csn_e</t>
  </si>
  <si>
    <t>EX_cu2_e</t>
  </si>
  <si>
    <t>EX_pydx_e</t>
  </si>
  <si>
    <t>EX_leu_L_e</t>
  </si>
  <si>
    <t>EX_ribflv_e</t>
  </si>
  <si>
    <t>EX_na1_e</t>
  </si>
  <si>
    <t>EX_thm_e</t>
  </si>
  <si>
    <t>EX_mn2_e</t>
  </si>
  <si>
    <t>EX_thym_e</t>
  </si>
  <si>
    <t>EX_phe_L_e</t>
  </si>
  <si>
    <t>EX_fe2_e</t>
  </si>
  <si>
    <t>EX_zn2_e</t>
  </si>
  <si>
    <t>EX_fol_e</t>
  </si>
  <si>
    <t>EX_nac_e</t>
  </si>
  <si>
    <t>EX_cbl1_e</t>
  </si>
  <si>
    <t>EX_btn_e</t>
  </si>
  <si>
    <t>EX_gly_e</t>
  </si>
  <si>
    <t>EX_trp_L_e</t>
  </si>
  <si>
    <t>EX_tyr_L_e</t>
  </si>
  <si>
    <t>EX_4abut_e</t>
  </si>
  <si>
    <t>EX_adn_e</t>
  </si>
  <si>
    <t>EX_glc_D_e</t>
  </si>
  <si>
    <t>EX_ac_e</t>
  </si>
  <si>
    <t>EX_cl_e</t>
  </si>
  <si>
    <t>EX_gln_L_e</t>
  </si>
  <si>
    <t>Line to add</t>
  </si>
  <si>
    <t>FC-prelim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</si>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</sst>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1CEB-ACA0-9545-AE72-195AA54BFD49}">
  <dimension ref="A1:L45"/>
  <sheetViews>
    <sheetView tabSelected="1" topLeftCell="B3" workbookViewId="0">
      <selection activeCell="L28" sqref="L28"/>
    </sheetView>
  </sheetViews>
  <sheetFormatPr baseColWidth="10" defaultRowHeight="16" x14ac:dyDescent="0.2"/>
  <cols>
    <col min="2" max="2" width="11.5" bestFit="1" customWidth="1"/>
    <col min="3" max="3" width="13.83203125" bestFit="1" customWidth="1"/>
    <col min="4" max="4" width="13" customWidth="1"/>
    <col min="5" max="5" width="15.5" bestFit="1" customWidth="1"/>
  </cols>
  <sheetData>
    <row r="1" spans="1:10" x14ac:dyDescent="0.2">
      <c r="A1" t="s">
        <v>0</v>
      </c>
      <c r="B1" t="s">
        <v>103</v>
      </c>
      <c r="C1" t="s">
        <v>42</v>
      </c>
      <c r="D1" t="s">
        <v>102</v>
      </c>
      <c r="E1" t="s">
        <v>46</v>
      </c>
      <c r="F1" t="s">
        <v>1</v>
      </c>
      <c r="G1" t="s">
        <v>101</v>
      </c>
    </row>
    <row r="2" spans="1:10" x14ac:dyDescent="0.2">
      <c r="A2" t="s">
        <v>29</v>
      </c>
      <c r="B2" t="s">
        <v>96</v>
      </c>
      <c r="C2" t="s">
        <v>45</v>
      </c>
      <c r="D2">
        <v>1</v>
      </c>
      <c r="E2">
        <v>0.01</v>
      </c>
      <c r="F2">
        <f>(E2/25)*-10</f>
        <v>-4.0000000000000001E-3</v>
      </c>
      <c r="G2" t="str">
        <f>CONCATENATE("tmodelc.reactions.",B2,": ",F2,",")</f>
        <v>tmodelc.reactions.EX_adn_e: -0.004,</v>
      </c>
      <c r="J2" t="s">
        <v>95</v>
      </c>
    </row>
    <row r="3" spans="1:10" x14ac:dyDescent="0.2">
      <c r="A3" t="s">
        <v>16</v>
      </c>
      <c r="B3" t="s">
        <v>71</v>
      </c>
      <c r="C3" t="s">
        <v>45</v>
      </c>
      <c r="D3">
        <v>1</v>
      </c>
      <c r="E3">
        <v>0.5</v>
      </c>
      <c r="F3">
        <f>(E3/25)*-10</f>
        <v>-0.2</v>
      </c>
      <c r="G3" t="str">
        <f t="shared" ref="G3:G45" si="0">CONCATENATE("tmodelc.reactions.",B3,": ",F3,",")</f>
        <v>tmodelc.reactions.EX_ala_D_e: -0.2,</v>
      </c>
      <c r="J3" t="s">
        <v>65</v>
      </c>
    </row>
    <row r="4" spans="1:10" x14ac:dyDescent="0.2">
      <c r="A4" t="s">
        <v>40</v>
      </c>
      <c r="C4" t="s">
        <v>45</v>
      </c>
      <c r="D4">
        <v>1</v>
      </c>
      <c r="E4">
        <v>5.0000000000000001E-3</v>
      </c>
      <c r="F4">
        <f>(E4/25)*-10</f>
        <v>-2E-3</v>
      </c>
      <c r="G4" t="str">
        <f t="shared" si="0"/>
        <v>tmodelc.reactions.: -0.002,</v>
      </c>
      <c r="J4" t="s">
        <v>66</v>
      </c>
    </row>
    <row r="5" spans="1:10" x14ac:dyDescent="0.2">
      <c r="A5" t="s">
        <v>47</v>
      </c>
      <c r="B5" t="s">
        <v>63</v>
      </c>
      <c r="C5" t="s">
        <v>45</v>
      </c>
      <c r="D5">
        <v>1</v>
      </c>
      <c r="E5">
        <v>3</v>
      </c>
      <c r="F5">
        <f>(E5/25)*-10</f>
        <v>-1.2</v>
      </c>
      <c r="G5" t="str">
        <f t="shared" si="0"/>
        <v>tmodelc.reactions.EX_NH4_e: -1.2,</v>
      </c>
      <c r="J5" t="s">
        <v>59</v>
      </c>
    </row>
    <row r="6" spans="1:10" x14ac:dyDescent="0.2">
      <c r="A6" t="s">
        <v>10</v>
      </c>
      <c r="B6" t="s">
        <v>56</v>
      </c>
      <c r="C6" t="s">
        <v>43</v>
      </c>
      <c r="D6">
        <v>0.4</v>
      </c>
      <c r="E6" s="1">
        <v>1</v>
      </c>
      <c r="F6">
        <f>(E6/25)*-10</f>
        <v>-0.4</v>
      </c>
      <c r="G6" t="str">
        <f t="shared" si="0"/>
        <v>tmodelc.reactions.EX_arg_L_e: -0.4,</v>
      </c>
      <c r="J6" t="s">
        <v>76</v>
      </c>
    </row>
    <row r="7" spans="1:10" x14ac:dyDescent="0.2">
      <c r="A7" t="s">
        <v>20</v>
      </c>
      <c r="B7" t="s">
        <v>55</v>
      </c>
      <c r="C7" t="s">
        <v>45</v>
      </c>
      <c r="D7">
        <v>1</v>
      </c>
      <c r="E7">
        <v>1.1000000000000001</v>
      </c>
      <c r="F7">
        <f>(E7/25)*-10</f>
        <v>-0.44000000000000006</v>
      </c>
      <c r="G7" t="str">
        <f t="shared" si="0"/>
        <v>tmodelc.reactions.EX_asn_L_e: -0.44,</v>
      </c>
      <c r="J7" t="s">
        <v>77</v>
      </c>
    </row>
    <row r="8" spans="1:10" x14ac:dyDescent="0.2">
      <c r="A8" t="s">
        <v>21</v>
      </c>
      <c r="B8" t="s">
        <v>54</v>
      </c>
      <c r="C8" t="s">
        <v>45</v>
      </c>
      <c r="D8">
        <v>1</v>
      </c>
      <c r="E8">
        <v>0.8</v>
      </c>
      <c r="F8">
        <f>(E8/25)*-10</f>
        <v>-0.32</v>
      </c>
      <c r="G8" t="str">
        <f t="shared" si="0"/>
        <v>tmodelc.reactions.EX_asp_L_e: -0.32,</v>
      </c>
      <c r="J8" t="s">
        <v>61</v>
      </c>
    </row>
    <row r="9" spans="1:10" x14ac:dyDescent="0.2">
      <c r="A9" t="s">
        <v>32</v>
      </c>
      <c r="B9" t="s">
        <v>91</v>
      </c>
      <c r="C9" t="s">
        <v>45</v>
      </c>
      <c r="D9">
        <v>1</v>
      </c>
      <c r="E9">
        <v>5.0000000000000001E-3</v>
      </c>
      <c r="F9">
        <f>(E9/25)*-10</f>
        <v>-2E-3</v>
      </c>
      <c r="G9" t="str">
        <f t="shared" si="0"/>
        <v>tmodelc.reactions.EX_btn_e: -0.002,</v>
      </c>
      <c r="J9" t="s">
        <v>62</v>
      </c>
    </row>
    <row r="10" spans="1:10" x14ac:dyDescent="0.2">
      <c r="A10" t="s">
        <v>39</v>
      </c>
      <c r="B10" t="s">
        <v>90</v>
      </c>
      <c r="C10" t="s">
        <v>45</v>
      </c>
      <c r="D10">
        <v>1</v>
      </c>
      <c r="E10">
        <v>5.0000000000000001E-3</v>
      </c>
      <c r="F10">
        <f>(E10/25)*-10</f>
        <v>-2E-3</v>
      </c>
      <c r="G10" t="str">
        <f t="shared" si="0"/>
        <v>tmodelc.reactions.EX_cbl1_e: -0.002,</v>
      </c>
      <c r="J10" t="s">
        <v>87</v>
      </c>
    </row>
    <row r="11" spans="1:10" x14ac:dyDescent="0.2">
      <c r="A11" t="s">
        <v>14</v>
      </c>
      <c r="B11" t="s">
        <v>49</v>
      </c>
      <c r="C11" t="s">
        <v>43</v>
      </c>
      <c r="D11">
        <v>0.4</v>
      </c>
      <c r="E11">
        <v>1.5</v>
      </c>
      <c r="F11">
        <f>(E11/25)*-10</f>
        <v>-0.6</v>
      </c>
      <c r="G11" t="str">
        <f t="shared" si="0"/>
        <v>tmodelc.reactions.EX_cys_L_e: -0.6,</v>
      </c>
      <c r="J11" t="s">
        <v>84</v>
      </c>
    </row>
    <row r="12" spans="1:10" x14ac:dyDescent="0.2">
      <c r="A12" t="s">
        <v>24</v>
      </c>
      <c r="B12" t="s">
        <v>52</v>
      </c>
      <c r="C12" t="s">
        <v>44</v>
      </c>
      <c r="D12">
        <v>0.7</v>
      </c>
      <c r="E12">
        <v>0.6</v>
      </c>
      <c r="F12">
        <f>(E12/25)*-10</f>
        <v>-0.24</v>
      </c>
      <c r="G12" t="str">
        <f t="shared" si="0"/>
        <v>tmodelc.reactions.EX_k_e: -0.24,</v>
      </c>
    </row>
    <row r="13" spans="1:10" x14ac:dyDescent="0.2">
      <c r="A13" t="s">
        <v>35</v>
      </c>
      <c r="B13" t="s">
        <v>88</v>
      </c>
      <c r="C13" t="s">
        <v>45</v>
      </c>
      <c r="D13">
        <v>1</v>
      </c>
      <c r="E13">
        <v>5.0000000000000001E-3</v>
      </c>
      <c r="F13">
        <f>(E13/25)*-10</f>
        <v>-2E-3</v>
      </c>
      <c r="G13" t="str">
        <f t="shared" si="0"/>
        <v>tmodelc.reactions.EX_fol_e: -0.002,</v>
      </c>
    </row>
    <row r="14" spans="1:10" x14ac:dyDescent="0.2">
      <c r="A14" t="s">
        <v>48</v>
      </c>
      <c r="B14" t="s">
        <v>97</v>
      </c>
      <c r="E14">
        <v>25</v>
      </c>
      <c r="F14">
        <f>(E14/25)*-10</f>
        <v>-10</v>
      </c>
      <c r="G14" t="str">
        <f t="shared" si="0"/>
        <v>tmodelc.reactions.EX_glc_D_e: -10,</v>
      </c>
    </row>
    <row r="15" spans="1:10" x14ac:dyDescent="0.2">
      <c r="A15" t="s">
        <v>18</v>
      </c>
      <c r="B15" t="s">
        <v>53</v>
      </c>
      <c r="C15" t="s">
        <v>44</v>
      </c>
      <c r="D15">
        <v>0.7</v>
      </c>
      <c r="E15">
        <v>1.2</v>
      </c>
      <c r="F15">
        <f>(E15/25)*-10</f>
        <v>-0.48</v>
      </c>
      <c r="G15" t="str">
        <f t="shared" si="0"/>
        <v>tmodelc.reactions.EX_glu_L_e: -0.48,</v>
      </c>
    </row>
    <row r="16" spans="1:10" x14ac:dyDescent="0.2">
      <c r="A16" t="s">
        <v>19</v>
      </c>
      <c r="B16" t="s">
        <v>100</v>
      </c>
      <c r="C16" t="s">
        <v>45</v>
      </c>
      <c r="D16">
        <v>1</v>
      </c>
      <c r="E16">
        <v>1</v>
      </c>
      <c r="F16">
        <f>(E16/25)*-10</f>
        <v>-0.4</v>
      </c>
      <c r="G16" t="str">
        <f t="shared" si="0"/>
        <v>tmodelc.reactions.EX_gln_L_e: -0.4,</v>
      </c>
    </row>
    <row r="17" spans="1:12" x14ac:dyDescent="0.2">
      <c r="A17" t="s">
        <v>12</v>
      </c>
      <c r="B17" t="s">
        <v>92</v>
      </c>
      <c r="C17" t="s">
        <v>43</v>
      </c>
      <c r="D17">
        <v>0.4</v>
      </c>
      <c r="E17">
        <v>0.4</v>
      </c>
      <c r="F17">
        <f>(E17/25)*-10</f>
        <v>-0.16</v>
      </c>
      <c r="G17" t="str">
        <f t="shared" si="0"/>
        <v>tmodelc.reactions.EX_gly_e: -0.16,</v>
      </c>
    </row>
    <row r="18" spans="1:12" x14ac:dyDescent="0.2">
      <c r="A18" t="s">
        <v>30</v>
      </c>
      <c r="B18" t="s">
        <v>73</v>
      </c>
      <c r="C18" t="s">
        <v>45</v>
      </c>
      <c r="D18">
        <v>1</v>
      </c>
      <c r="E18">
        <v>0.01</v>
      </c>
      <c r="F18">
        <f>(E18/25)*-10</f>
        <v>-4.0000000000000001E-3</v>
      </c>
      <c r="G18" t="str">
        <f t="shared" si="0"/>
        <v>tmodelc.reactions.EX_gua_e: -0.004,</v>
      </c>
    </row>
    <row r="19" spans="1:12" x14ac:dyDescent="0.2">
      <c r="A19" t="s">
        <v>7</v>
      </c>
      <c r="B19" t="s">
        <v>57</v>
      </c>
      <c r="C19" t="s">
        <v>45</v>
      </c>
      <c r="D19">
        <v>1</v>
      </c>
      <c r="E19">
        <v>0.44</v>
      </c>
      <c r="F19">
        <f>(E19/25)*-10</f>
        <v>-0.17600000000000002</v>
      </c>
      <c r="G19" t="str">
        <f t="shared" si="0"/>
        <v>tmodelc.reactions.EX_his_L_e: -0.176,</v>
      </c>
    </row>
    <row r="20" spans="1:12" x14ac:dyDescent="0.2">
      <c r="A20" t="s">
        <v>26</v>
      </c>
      <c r="B20" t="s">
        <v>86</v>
      </c>
      <c r="C20" t="s">
        <v>45</v>
      </c>
      <c r="D20">
        <v>1</v>
      </c>
      <c r="E20">
        <v>0.01</v>
      </c>
      <c r="F20">
        <f>(E20/25)*-10</f>
        <v>-4.0000000000000001E-3</v>
      </c>
      <c r="G20" t="str">
        <f t="shared" si="0"/>
        <v>tmodelc.reactions.EX_fe2_e: -0.004,</v>
      </c>
    </row>
    <row r="21" spans="1:12" x14ac:dyDescent="0.2">
      <c r="A21" t="s">
        <v>5</v>
      </c>
      <c r="B21" t="s">
        <v>51</v>
      </c>
      <c r="C21" t="s">
        <v>43</v>
      </c>
      <c r="D21">
        <v>0.4</v>
      </c>
      <c r="E21">
        <v>0.5</v>
      </c>
      <c r="F21">
        <f>(E21/25)*-10</f>
        <v>-0.2</v>
      </c>
      <c r="G21" t="str">
        <f t="shared" si="0"/>
        <v>tmodelc.reactions.EX_ile_L_e: -0.2,</v>
      </c>
    </row>
    <row r="22" spans="1:12" x14ac:dyDescent="0.2">
      <c r="A22" t="s">
        <v>4</v>
      </c>
      <c r="B22" t="s">
        <v>79</v>
      </c>
      <c r="C22" t="s">
        <v>44</v>
      </c>
      <c r="D22">
        <v>0.7</v>
      </c>
      <c r="E22">
        <v>0.5</v>
      </c>
      <c r="F22">
        <f>(E22/25)*-10</f>
        <v>-0.2</v>
      </c>
      <c r="G22" t="str">
        <f t="shared" si="0"/>
        <v>tmodelc.reactions.EX_leu_L_e: -0.2,</v>
      </c>
    </row>
    <row r="23" spans="1:12" x14ac:dyDescent="0.2">
      <c r="A23" t="s">
        <v>9</v>
      </c>
      <c r="B23" t="s">
        <v>72</v>
      </c>
      <c r="C23" t="s">
        <v>45</v>
      </c>
      <c r="D23">
        <v>1</v>
      </c>
      <c r="E23">
        <v>1.05</v>
      </c>
      <c r="F23">
        <f>(E23/25)*-10</f>
        <v>-0.42000000000000004</v>
      </c>
      <c r="G23" t="str">
        <f t="shared" si="0"/>
        <v>tmodelc.reactions.EX_lys_L_e: -0.42,</v>
      </c>
    </row>
    <row r="24" spans="1:12" x14ac:dyDescent="0.2">
      <c r="A24" t="s">
        <v>25</v>
      </c>
      <c r="B24" t="s">
        <v>50</v>
      </c>
      <c r="C24" t="s">
        <v>44</v>
      </c>
      <c r="D24">
        <v>0.7</v>
      </c>
      <c r="E24">
        <v>0.2</v>
      </c>
      <c r="F24">
        <f>(E24/25)*-10</f>
        <v>-0.08</v>
      </c>
      <c r="G24" t="str">
        <f t="shared" si="0"/>
        <v>tmodelc.reactions.EX_mg2_e: -0.08,</v>
      </c>
    </row>
    <row r="25" spans="1:12" x14ac:dyDescent="0.2">
      <c r="A25" t="s">
        <v>27</v>
      </c>
      <c r="B25" t="s">
        <v>83</v>
      </c>
      <c r="C25" t="s">
        <v>44</v>
      </c>
      <c r="D25">
        <v>0.7</v>
      </c>
      <c r="E25">
        <v>0.01</v>
      </c>
      <c r="F25">
        <f>(E25/25)*-10</f>
        <v>-4.0000000000000001E-3</v>
      </c>
      <c r="G25" t="str">
        <f t="shared" si="0"/>
        <v>tmodelc.reactions.EX_mn2_e: -0.004,</v>
      </c>
    </row>
    <row r="26" spans="1:12" x14ac:dyDescent="0.2">
      <c r="A26" t="s">
        <v>15</v>
      </c>
      <c r="B26" t="s">
        <v>69</v>
      </c>
      <c r="C26" t="s">
        <v>45</v>
      </c>
      <c r="D26">
        <v>1</v>
      </c>
      <c r="E26">
        <v>0.2</v>
      </c>
      <c r="F26">
        <f>(E26/25)*-10</f>
        <v>-0.08</v>
      </c>
      <c r="G26" t="str">
        <f t="shared" si="0"/>
        <v>tmodelc.reactions.EX_met_L_e: -0.08,</v>
      </c>
    </row>
    <row r="27" spans="1:12" x14ac:dyDescent="0.2">
      <c r="A27" t="s">
        <v>23</v>
      </c>
      <c r="B27" t="s">
        <v>52</v>
      </c>
      <c r="C27" t="s">
        <v>45</v>
      </c>
      <c r="D27">
        <v>1</v>
      </c>
      <c r="E27">
        <v>0.6</v>
      </c>
      <c r="F27">
        <f>(E27/25)*-10</f>
        <v>-0.24</v>
      </c>
      <c r="G27" t="str">
        <f t="shared" si="0"/>
        <v>tmodelc.reactions.EX_k_e: -0.24,</v>
      </c>
      <c r="K27">
        <v>-0.24</v>
      </c>
      <c r="L27">
        <f>K27*2</f>
        <v>-0.48</v>
      </c>
    </row>
    <row r="28" spans="1:12" x14ac:dyDescent="0.2">
      <c r="A28" t="s">
        <v>37</v>
      </c>
      <c r="B28" t="s">
        <v>70</v>
      </c>
      <c r="C28" t="s">
        <v>45</v>
      </c>
      <c r="D28">
        <v>1</v>
      </c>
      <c r="E28">
        <v>5.0000000000000001E-3</v>
      </c>
      <c r="F28">
        <f>(E28/25)*-10</f>
        <v>-2E-3</v>
      </c>
      <c r="G28" t="str">
        <f t="shared" si="0"/>
        <v>tmodelc.reactions.EX_inost_e: -0.002,</v>
      </c>
    </row>
    <row r="29" spans="1:12" x14ac:dyDescent="0.2">
      <c r="A29" t="s">
        <v>38</v>
      </c>
      <c r="B29" t="s">
        <v>89</v>
      </c>
      <c r="C29" t="s">
        <v>43</v>
      </c>
      <c r="D29">
        <v>0.4</v>
      </c>
      <c r="E29">
        <v>4.0000000000000001E-3</v>
      </c>
      <c r="F29">
        <f>(E29/25)*-10</f>
        <v>-1.6000000000000001E-3</v>
      </c>
      <c r="G29" t="str">
        <f t="shared" si="0"/>
        <v>tmodelc.reactions.EX_nac_e: -0.0016,</v>
      </c>
    </row>
    <row r="30" spans="1:12" x14ac:dyDescent="0.2">
      <c r="A30" t="s">
        <v>41</v>
      </c>
      <c r="B30" t="s">
        <v>75</v>
      </c>
      <c r="C30" t="s">
        <v>44</v>
      </c>
      <c r="D30">
        <v>0.7</v>
      </c>
      <c r="E30">
        <v>5.0000000000000001E-3</v>
      </c>
      <c r="F30">
        <f>(E30/25)*-10</f>
        <v>-2E-3</v>
      </c>
      <c r="G30" t="str">
        <f t="shared" si="0"/>
        <v>tmodelc.reactions.EX_pnto_R_e: -0.002,</v>
      </c>
    </row>
    <row r="31" spans="1:12" x14ac:dyDescent="0.2">
      <c r="A31" t="s">
        <v>6</v>
      </c>
      <c r="B31" t="s">
        <v>85</v>
      </c>
      <c r="C31" t="s">
        <v>43</v>
      </c>
      <c r="D31">
        <v>0.4</v>
      </c>
      <c r="E31">
        <v>0.5</v>
      </c>
      <c r="F31">
        <f>(E31/25)*-10</f>
        <v>-0.2</v>
      </c>
      <c r="G31" t="str">
        <f t="shared" si="0"/>
        <v>tmodelc.reactions.EX_phe_L_e: -0.2,</v>
      </c>
    </row>
    <row r="32" spans="1:12" x14ac:dyDescent="0.2">
      <c r="A32" t="s">
        <v>8</v>
      </c>
      <c r="B32" t="s">
        <v>60</v>
      </c>
      <c r="C32" t="s">
        <v>45</v>
      </c>
      <c r="D32">
        <v>1</v>
      </c>
      <c r="E32">
        <v>0.4</v>
      </c>
      <c r="F32">
        <f>(E32/25)*-10</f>
        <v>-0.16</v>
      </c>
      <c r="G32" t="str">
        <f t="shared" si="0"/>
        <v>tmodelc.reactions.EX_pro_L_e: -0.16,</v>
      </c>
    </row>
    <row r="33" spans="1:7" x14ac:dyDescent="0.2">
      <c r="A33" t="s">
        <v>36</v>
      </c>
      <c r="B33" t="s">
        <v>78</v>
      </c>
      <c r="C33" t="s">
        <v>43</v>
      </c>
      <c r="D33">
        <v>0.4</v>
      </c>
      <c r="E33">
        <v>4.0000000000000001E-3</v>
      </c>
      <c r="F33">
        <f>(E33/25)*-10</f>
        <v>-1.6000000000000001E-3</v>
      </c>
      <c r="G33" t="str">
        <f t="shared" si="0"/>
        <v>tmodelc.reactions.EX_pydx_e: -0.0016,</v>
      </c>
    </row>
    <row r="34" spans="1:7" x14ac:dyDescent="0.2">
      <c r="A34" t="s">
        <v>34</v>
      </c>
      <c r="B34" t="s">
        <v>80</v>
      </c>
      <c r="C34" t="s">
        <v>43</v>
      </c>
      <c r="D34">
        <v>0.4</v>
      </c>
      <c r="E34">
        <v>5.0000000000000001E-3</v>
      </c>
      <c r="F34">
        <f>(E34/25)*-10</f>
        <v>-2E-3</v>
      </c>
      <c r="G34" t="str">
        <f t="shared" si="0"/>
        <v>tmodelc.reactions.EX_ribflv_e: -0.002,</v>
      </c>
    </row>
    <row r="35" spans="1:7" x14ac:dyDescent="0.2">
      <c r="A35" t="s">
        <v>11</v>
      </c>
      <c r="B35" t="s">
        <v>64</v>
      </c>
      <c r="C35" t="s">
        <v>43</v>
      </c>
      <c r="D35">
        <v>0.4</v>
      </c>
      <c r="E35">
        <v>1.55</v>
      </c>
      <c r="F35">
        <f>(E35/25)*-10</f>
        <v>-0.62</v>
      </c>
      <c r="G35" t="str">
        <f t="shared" si="0"/>
        <v>tmodelc.reactions.EX_ser_L_e: -0.62,</v>
      </c>
    </row>
    <row r="36" spans="1:7" x14ac:dyDescent="0.2">
      <c r="A36" t="s">
        <v>22</v>
      </c>
      <c r="B36" t="s">
        <v>81</v>
      </c>
      <c r="C36" t="s">
        <v>45</v>
      </c>
      <c r="D36">
        <v>1</v>
      </c>
      <c r="E36">
        <v>20</v>
      </c>
      <c r="F36">
        <f>(E36/25)*-10</f>
        <v>-8</v>
      </c>
      <c r="G36" t="str">
        <f t="shared" si="0"/>
        <v>tmodelc.reactions.EX_na1_e: -8,</v>
      </c>
    </row>
    <row r="37" spans="1:7" x14ac:dyDescent="0.2">
      <c r="A37" t="s">
        <v>33</v>
      </c>
      <c r="B37" t="s">
        <v>82</v>
      </c>
      <c r="C37" t="s">
        <v>45</v>
      </c>
      <c r="D37">
        <v>1</v>
      </c>
      <c r="E37">
        <v>5.0000000000000001E-3</v>
      </c>
      <c r="F37">
        <f>(E37/25)*-10</f>
        <v>-2E-3</v>
      </c>
      <c r="G37" t="str">
        <f t="shared" si="0"/>
        <v>tmodelc.reactions.EX_thm_e: -0.002,</v>
      </c>
    </row>
    <row r="38" spans="1:7" x14ac:dyDescent="0.2">
      <c r="A38" t="s">
        <v>2</v>
      </c>
      <c r="B38" t="s">
        <v>74</v>
      </c>
      <c r="C38" t="s">
        <v>43</v>
      </c>
      <c r="D38">
        <v>0.4</v>
      </c>
      <c r="E38">
        <v>0.5</v>
      </c>
      <c r="F38">
        <f>(E38/25)*-10</f>
        <v>-0.2</v>
      </c>
      <c r="G38" t="str">
        <f t="shared" si="0"/>
        <v>tmodelc.reactions.EX_thr_L_e: -0.2,</v>
      </c>
    </row>
    <row r="39" spans="1:7" x14ac:dyDescent="0.2">
      <c r="A39" t="s">
        <v>17</v>
      </c>
      <c r="B39" t="s">
        <v>93</v>
      </c>
      <c r="C39" t="s">
        <v>43</v>
      </c>
      <c r="D39">
        <v>0.4</v>
      </c>
      <c r="E39">
        <v>0.56000000000000005</v>
      </c>
      <c r="F39">
        <f>(E39/25)*-10</f>
        <v>-0.22400000000000003</v>
      </c>
      <c r="G39" t="str">
        <f t="shared" si="0"/>
        <v>tmodelc.reactions.EX_trp_L_e: -0.224,</v>
      </c>
    </row>
    <row r="40" spans="1:7" x14ac:dyDescent="0.2">
      <c r="A40" t="s">
        <v>13</v>
      </c>
      <c r="B40" t="s">
        <v>94</v>
      </c>
      <c r="C40" t="s">
        <v>43</v>
      </c>
      <c r="D40">
        <v>0.4</v>
      </c>
      <c r="E40">
        <v>0.4</v>
      </c>
      <c r="F40">
        <f>(E40/25)*-10</f>
        <v>-0.16</v>
      </c>
      <c r="G40" t="str">
        <f t="shared" si="0"/>
        <v>tmodelc.reactions.EX_tyr_L_e: -0.16,</v>
      </c>
    </row>
    <row r="41" spans="1:7" x14ac:dyDescent="0.2">
      <c r="A41" t="s">
        <v>28</v>
      </c>
      <c r="B41" t="s">
        <v>67</v>
      </c>
      <c r="C41" t="s">
        <v>45</v>
      </c>
      <c r="D41">
        <v>1</v>
      </c>
      <c r="E41">
        <v>0.01</v>
      </c>
      <c r="F41">
        <f>(E41/25)*-10</f>
        <v>-4.0000000000000001E-3</v>
      </c>
      <c r="G41" t="str">
        <f t="shared" si="0"/>
        <v>tmodelc.reactions.EX_ura_e: -0.004,</v>
      </c>
    </row>
    <row r="42" spans="1:7" x14ac:dyDescent="0.2">
      <c r="A42" t="s">
        <v>3</v>
      </c>
      <c r="B42" t="s">
        <v>58</v>
      </c>
      <c r="C42" t="s">
        <v>43</v>
      </c>
      <c r="D42">
        <v>0.4</v>
      </c>
      <c r="E42">
        <v>1</v>
      </c>
      <c r="F42">
        <f>(E42/25)*-10</f>
        <v>-0.4</v>
      </c>
      <c r="G42" t="str">
        <f t="shared" si="0"/>
        <v>tmodelc.reactions.EX_val_L_e: -0.4,</v>
      </c>
    </row>
    <row r="43" spans="1:7" x14ac:dyDescent="0.2">
      <c r="A43" t="s">
        <v>31</v>
      </c>
      <c r="B43" t="s">
        <v>68</v>
      </c>
      <c r="C43" t="s">
        <v>45</v>
      </c>
      <c r="D43">
        <v>1</v>
      </c>
      <c r="E43">
        <v>0.01</v>
      </c>
      <c r="F43">
        <f>(E43/25)*-10</f>
        <v>-4.0000000000000001E-3</v>
      </c>
      <c r="G43" t="str">
        <f t="shared" si="0"/>
        <v>tmodelc.reactions.EX_xan_e: -0.004,</v>
      </c>
    </row>
    <row r="44" spans="1:7" x14ac:dyDescent="0.2">
      <c r="A44" t="s">
        <v>22</v>
      </c>
      <c r="B44" t="s">
        <v>98</v>
      </c>
      <c r="C44" t="s">
        <v>45</v>
      </c>
      <c r="D44">
        <v>1</v>
      </c>
      <c r="E44">
        <v>20</v>
      </c>
      <c r="F44">
        <v>-8</v>
      </c>
      <c r="G44" t="str">
        <f t="shared" si="0"/>
        <v>tmodelc.reactions.EX_ac_e: -8,</v>
      </c>
    </row>
    <row r="45" spans="1:7" x14ac:dyDescent="0.2">
      <c r="A45" t="s">
        <v>47</v>
      </c>
      <c r="B45" t="s">
        <v>99</v>
      </c>
      <c r="C45" t="s">
        <v>45</v>
      </c>
      <c r="D45">
        <v>1</v>
      </c>
      <c r="E45">
        <v>3</v>
      </c>
      <c r="F45">
        <f>(E45/25)*-10</f>
        <v>-1.2</v>
      </c>
      <c r="G45" t="str">
        <f t="shared" si="0"/>
        <v>tmodelc.reactions.EX_cl_e: -1.2,</v>
      </c>
    </row>
  </sheetData>
  <sortState xmlns:xlrd2="http://schemas.microsoft.com/office/spreadsheetml/2017/richdata2" ref="H2:H55">
    <sortCondition ref="H2:H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2025-06-18T13:30:44Z</dcterms:created>
  <dcterms:modified xsi:type="dcterms:W3CDTF">2025-06-18T14:30:33Z</dcterms:modified>
</cp:coreProperties>
</file>